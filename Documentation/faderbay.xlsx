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derBay" sheetId="1" r:id="rId4"/>
    <sheet state="visible" name="Caracteristicas" sheetId="2" r:id="rId5"/>
    <sheet state="visible" name="HOJA DE RUTA" sheetId="3" r:id="rId6"/>
    <sheet state="visible" name="Copia de Hoja 2" sheetId="4" r:id="rId7"/>
    <sheet state="visible" name="Hoja 4" sheetId="5" r:id="rId8"/>
    <sheet state="visible" name="PINOUT" sheetId="6" r:id="rId9"/>
  </sheets>
  <definedNames>
    <definedName hidden="1" localSheetId="2" name="_xlnm._FilterDatabase">'HOJA DE RUTA'!$C$5:$F$32</definedName>
  </definedNames>
  <calcPr/>
</workbook>
</file>

<file path=xl/sharedStrings.xml><?xml version="1.0" encoding="utf-8"?>
<sst xmlns="http://schemas.openxmlformats.org/spreadsheetml/2006/main" count="249" uniqueCount="171">
  <si>
    <t>I/O</t>
  </si>
  <si>
    <t>16 Faders (2MUX)</t>
  </si>
  <si>
    <t>adc y gpio</t>
  </si>
  <si>
    <t>MUX</t>
  </si>
  <si>
    <t>4 Botones</t>
  </si>
  <si>
    <t>gpio</t>
  </si>
  <si>
    <t>Enh</t>
  </si>
  <si>
    <t>16 Minijacks CV</t>
  </si>
  <si>
    <t>COM</t>
  </si>
  <si>
    <t>1 Minijack MIDI</t>
  </si>
  <si>
    <t>uart</t>
  </si>
  <si>
    <t>S0</t>
  </si>
  <si>
    <t>1 USB - C</t>
  </si>
  <si>
    <t>usb</t>
  </si>
  <si>
    <t>S1</t>
  </si>
  <si>
    <t>1 DC Input</t>
  </si>
  <si>
    <t>S2</t>
  </si>
  <si>
    <t>1 Encoder</t>
  </si>
  <si>
    <t>timer</t>
  </si>
  <si>
    <t>OLED Screen</t>
  </si>
  <si>
    <t>spi</t>
  </si>
  <si>
    <t>Midi DIN5</t>
  </si>
  <si>
    <t>CARACTERISTICAS</t>
  </si>
  <si>
    <t>CV Output Change Range</t>
  </si>
  <si>
    <t>0-10V and -5-5V</t>
  </si>
  <si>
    <t>Save configurations</t>
  </si>
  <si>
    <t>Flash</t>
  </si>
  <si>
    <t>Set off/on specific CVs</t>
  </si>
  <si>
    <t>Add Faders Module Expansion</t>
  </si>
  <si>
    <t>HOJA DE RUTA</t>
  </si>
  <si>
    <t>Descripción</t>
  </si>
  <si>
    <t>Categoria</t>
  </si>
  <si>
    <t>Prioridad</t>
  </si>
  <si>
    <t>Estado</t>
  </si>
  <si>
    <t>Progreso</t>
  </si>
  <si>
    <t>Comentarios</t>
  </si>
  <si>
    <t>Hacer Esquema Circuito</t>
  </si>
  <si>
    <t>Hardware, Diseño</t>
  </si>
  <si>
    <t>Alta</t>
  </si>
  <si>
    <t>En progreso</t>
  </si>
  <si>
    <t>EasyEDA. Mirar 16n</t>
  </si>
  <si>
    <t>Mirar código EEPROM</t>
  </si>
  <si>
    <t>Software</t>
  </si>
  <si>
    <t>Baja</t>
  </si>
  <si>
    <t>Finalizado</t>
  </si>
  <si>
    <t>Mirar como hacer codigo para guardar en la memoria</t>
  </si>
  <si>
    <t>Pensar MCU</t>
  </si>
  <si>
    <t>Pensar, Hardware</t>
  </si>
  <si>
    <t>STM32F405RGT</t>
  </si>
  <si>
    <t>Que MCU usar. Con ADC. Teensy, stm32</t>
  </si>
  <si>
    <t>Plantear estructura código</t>
  </si>
  <si>
    <t>Que librerias, estructuras, lógica general, etc</t>
  </si>
  <si>
    <t>Selección de faders</t>
  </si>
  <si>
    <t>Hardware, Pensar, Compra</t>
  </si>
  <si>
    <t>Media</t>
  </si>
  <si>
    <t>PTB0143-2010BPA103</t>
  </si>
  <si>
    <t>De buena calidad, lineal/log. 10 cm</t>
  </si>
  <si>
    <t xml:space="preserve">Selección de pantalla OLED </t>
  </si>
  <si>
    <t>No empezado</t>
  </si>
  <si>
    <t>I2C/SPI</t>
  </si>
  <si>
    <t>Prototipo PCB</t>
  </si>
  <si>
    <t>Diseño, Hardware</t>
  </si>
  <si>
    <t>Leer faders</t>
  </si>
  <si>
    <t>Uso de multiplexores</t>
  </si>
  <si>
    <t>Lógica selección de modos</t>
  </si>
  <si>
    <t>MIDI/CV/Ambos</t>
  </si>
  <si>
    <t>Hacer GUI para la tft</t>
  </si>
  <si>
    <t>Diseño</t>
  </si>
  <si>
    <t>Probar que resistencia ponerle al LED del fader</t>
  </si>
  <si>
    <t>Hardware</t>
  </si>
  <si>
    <t>150, 180 o 220 ohms</t>
  </si>
  <si>
    <t>start stm32cubeide project</t>
  </si>
  <si>
    <t>Hecho con VSCode</t>
  </si>
  <si>
    <t>start with UI interfaces (faders, buttons, encoder)</t>
  </si>
  <si>
    <t>code device struct</t>
  </si>
  <si>
    <t>poll UI to change device settings</t>
  </si>
  <si>
    <t>Mirar lectura faders ya que parece que lee mal. Mapear el valor antes de comprobar si hay cambio?</t>
  </si>
  <si>
    <t>Read and write memory to save configs</t>
  </si>
  <si>
    <t>NO FUNCIONA. Comprobar funcion Write</t>
  </si>
  <si>
    <t>MIDI Interface</t>
  </si>
  <si>
    <t>Comprobar</t>
  </si>
  <si>
    <t>Use library? UART</t>
  </si>
  <si>
    <t>MIDI Device</t>
  </si>
  <si>
    <t>No funciona sin oscilador de cristal o HSE?</t>
  </si>
  <si>
    <t>https://github.com/Hypnotriod/midi-box-stm32/tree/master</t>
  </si>
  <si>
    <t>Código OLED</t>
  </si>
  <si>
    <t>Implement CLI</t>
  </si>
  <si>
    <t xml:space="preserve">Hacer gestion de errores </t>
  </si>
  <si>
    <t>USB Device change descriptor at cubeMX</t>
  </si>
  <si>
    <t>mirar con osciloscopio si hace falta debouncing con condensadores en los botones</t>
  </si>
  <si>
    <t>Lo hago desde sfotware?</t>
  </si>
  <si>
    <t>mirar osciloscopio si hacer pull up en el encoder</t>
  </si>
  <si>
    <t>Si</t>
  </si>
  <si>
    <t>Diseñar interruptor del cricuito</t>
  </si>
  <si>
    <t>Se junta con el BOOT0?</t>
  </si>
  <si>
    <t>Diseñar footprints faltantes</t>
  </si>
  <si>
    <t>Fader, encoder</t>
  </si>
  <si>
    <t>Encontrar pushbutton power</t>
  </si>
  <si>
    <t>PRODUCTO</t>
  </si>
  <si>
    <t>REF</t>
  </si>
  <si>
    <t>DESCRIPCIÓN</t>
  </si>
  <si>
    <t>PARTE</t>
  </si>
  <si>
    <t>CANTIDAD</t>
  </si>
  <si>
    <t>PRECIO</t>
  </si>
  <si>
    <t>TOTAL</t>
  </si>
  <si>
    <t>LINK</t>
  </si>
  <si>
    <t>Fader</t>
  </si>
  <si>
    <t>RS6011SP6003</t>
  </si>
  <si>
    <t>60mm / 10k</t>
  </si>
  <si>
    <t>https://www.mouser.es/ProductDetail/Alps-Alpine/RS6011SP6003?qs=3cOf6TWd2rbyy41GF81woQ%3D%3D</t>
  </si>
  <si>
    <t>PTL60-15O1-104B2</t>
  </si>
  <si>
    <t>60mm / 100k</t>
  </si>
  <si>
    <t>https://www.mouser.es/ProductDetail/Bourns/PTL60-15O1-104B2?qs=nAEW9fCjKd9VkMEfC2OFmQ%3D%3D</t>
  </si>
  <si>
    <t>Teensy 4.0</t>
  </si>
  <si>
    <t>TEENSY40</t>
  </si>
  <si>
    <t>https://www.pjrc.com/store/teensy40.html</t>
  </si>
  <si>
    <t>Midi Conector</t>
  </si>
  <si>
    <t>485-1134</t>
  </si>
  <si>
    <t>https://www.mouser.es/ProductDetail/Adafruit/1134?qs=GURawfaeGuCcC0%252BrNLxslQ%3D%3D</t>
  </si>
  <si>
    <t>Multiplexor 8 ch</t>
  </si>
  <si>
    <t>74HC4051D</t>
  </si>
  <si>
    <t>Multiplexor de 8 canales</t>
  </si>
  <si>
    <t>https://www.mouser.es/ProductDetail/Toshiba/74HC4051D?qs=sGAEpiMZZMutXGli8Ay4kN9umiTtPJOt%2FJgohKwEwg0%3D</t>
  </si>
  <si>
    <t>OP-Amp</t>
  </si>
  <si>
    <t>MCP6004_SMD</t>
  </si>
  <si>
    <t>Quad opamp</t>
  </si>
  <si>
    <t>https://www.mouser.es/ProductDetail/Microchip-Technology/MCP6004-I-SL?qs=n%2FfJlMG9rCZ2%2F%2FCryvZ52w%3D%3D&amp;_gl=1*17xl29c*_ga*dW5kZWZpbmVk*_ga_15W4STQT4T*dW5kZWZpbmVk*_ga_1KQLCYKRX3*dW5kZWZpbmVk</t>
  </si>
  <si>
    <t>Mini jack hembra</t>
  </si>
  <si>
    <t>10 unidades</t>
  </si>
  <si>
    <t>https://m.es.aliexpress.com/item/32766726918.html</t>
  </si>
  <si>
    <t>Conector USB-C</t>
  </si>
  <si>
    <t>https://es.aliexpress.com/item/1005005187689195.html?spm=a2g0o.productlist.main.11.259aWInWWInWAw&amp;algo_pvid=739665f8-0e76-4668-8e29-005eaeac71c3&amp;algo_exp_id=739665f8-0e76-4668-8e29-005eaeac71c3-5&amp;pdp_ext_f=%7B%22order%22%3A%223021%22%2C%22eval%22%3A%221%22%7D&amp;pdp_npi=4%40dis%21EUR%213.46%211.59%21%21%2126.58%2112.22%21%40211b804117427308057127702e78d9%2112000032029498316%21sea%21ES%214539593715%21X&amp;curPageLogUid=bOgomXS8EbDM&amp;utparam-url=scene%3Asearch%7Cquery_from%3A</t>
  </si>
  <si>
    <t>Power LED</t>
  </si>
  <si>
    <t>https://www.mouser.es/ProductDetail/Kingbright/WP934EW-GD?qs=58z0TXQGVSTZ3lOkUk8wEA%3D%3D</t>
  </si>
  <si>
    <t>OLED</t>
  </si>
  <si>
    <t>https://newhavendisplay.com/es/3-m%C3%B3dulo-oled-gr%C3%A1fico-blanco-de-12-pulgadas/</t>
  </si>
  <si>
    <t>https://shop.lcd-module.com/search?search=W256064-XA</t>
  </si>
  <si>
    <t>Barrel Jack DC</t>
  </si>
  <si>
    <t>https://www.digikey.es/es/products/detail/kycon-inc/KLDX-0202-A/9975992?gclsrc=aw.ds&amp;&amp;utm_adgroup=&amp;utm_source=google&amp;utm_medium=cpc&amp;utm_campaign=PMax_Product_All%20Products&amp;utm_term=&amp;productid=9975992&amp;utm_content=&amp;utm_id=go_cmp-20199915072_adg-_ad-__dev-c_ext-_prd-9975992_sig-Cj0KCQjw4v6-BhDuARIsALprm33jwRo7_ADwQJ1XPHdLZ01PpYyCwJkJWyGuoQTNIISiWG1QFtIhmysaAjPFEALw_wcB&amp;gad_source=1&amp;gclid=Cj0KCQjw4v6-BhDuARIsALprm33jwRo7_ADwQJ1XPHdLZ01PpYyCwJkJWyGuoQTNIISiWG1QFtIhmysaAjPFEALw_wcB&amp;gclsrc=aw.ds</t>
  </si>
  <si>
    <t>SMD LED</t>
  </si>
  <si>
    <t>https://jlcpcb.com/partdetail/Xinglight-XL_1608PGC06/C7371905</t>
  </si>
  <si>
    <t>USB-C Conn</t>
  </si>
  <si>
    <t>https://jlcpcb.com/partdetail/AmphenolIcc-12401610E42A/C5119948</t>
  </si>
  <si>
    <t>Jacks</t>
  </si>
  <si>
    <t>https://jlcpcb.com/partdetail/19296-PJ_320BSurfaceMount/C18594</t>
  </si>
  <si>
    <t>https://www.mouser.es/ProductDetail/Amphenol-FCI/10038075-A1PLF?qs=LmzVcvYPptTR2f1ldRPXug%3D%3D</t>
  </si>
  <si>
    <t>MIDI Conn</t>
  </si>
  <si>
    <t>Inductor 0402</t>
  </si>
  <si>
    <t>https://jlcpcb.com/partdetail/Sunlord-SDCL1005C39NJTDF/C26443</t>
  </si>
  <si>
    <t>Power inductor</t>
  </si>
  <si>
    <t>https://jlcpcb.com/partdetail/188641-FXL0530_6R8M/C177249</t>
  </si>
  <si>
    <t>Cristal OSC</t>
  </si>
  <si>
    <t>X322516MLB4Sl</t>
  </si>
  <si>
    <t>Mom Switch</t>
  </si>
  <si>
    <t>https://www.mouser.es/ProductDetail/Wurth-Elektronik/430182070816?qs=wr8lucFkNMXtq9RwGFkUbg%3D%3D&amp;mgh=1&amp;vip=1&amp;utm_id=19105062713&amp;utm_source=google&amp;utm_medium=cpc&amp;utm_marketing_tactic=emeacorp&amp;gad_source=1&amp;gclid=CjwKCAjw7pO_BhAlEiwA4pMQvA6VNTta6TyjCNcReBU8zcO6pBxoisGQWuXhyHh-hUGuzqTtFUHGxRoCs9sQAvD_BwE</t>
  </si>
  <si>
    <t>Switch ON/Off</t>
  </si>
  <si>
    <t>https://www.mouser.es/ProductDetail/Alpha-Taiwan/SP70030F-0202-13F1-01-NN?qs=yA6kp8fx8Y48L6RofibbJA%3D%3D</t>
  </si>
  <si>
    <t>Current consumption</t>
  </si>
  <si>
    <t>#</t>
  </si>
  <si>
    <t>Voltage</t>
  </si>
  <si>
    <t>Amps/unit</t>
  </si>
  <si>
    <t>Total</t>
  </si>
  <si>
    <t>MCU</t>
  </si>
  <si>
    <t>3v3</t>
  </si>
  <si>
    <t>MCP6004</t>
  </si>
  <si>
    <t>Total 3.3V</t>
  </si>
  <si>
    <t>mA</t>
  </si>
  <si>
    <t>TL074</t>
  </si>
  <si>
    <t>OLED Panel</t>
  </si>
  <si>
    <t>Jumper option 2</t>
  </si>
  <si>
    <t>Total 12V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</si>
</sst>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1]"/>
    <numFmt numFmtId="165" formatCode="#,##0.00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/>
    <font>
      <sz val="22.0"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color rgb="FF333333"/>
      <name val="Arial"/>
    </font>
    <font>
      <u/>
      <color rgb="FF0000FF"/>
    </font>
    <font>
      <u/>
      <color rgb="FF0000FF"/>
    </font>
    <font>
      <sz val="14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3" fillId="0" fontId="1" numFmtId="0" xfId="0" applyBorder="1" applyFont="1"/>
    <xf borderId="0" fillId="0" fontId="3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3" fillId="3" fontId="4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1" numFmtId="164" xfId="0" applyFont="1" applyNumberFormat="1"/>
    <xf borderId="0" fillId="4" fontId="7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0" fontId="9" numFmtId="164" xfId="0" applyAlignment="1" applyFont="1" applyNumberFormat="1">
      <alignment readingOrder="0"/>
    </xf>
    <xf borderId="0" fillId="0" fontId="10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0</xdr:row>
      <xdr:rowOff>200025</xdr:rowOff>
    </xdr:from>
    <xdr:ext cx="6867525" cy="4972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942975</xdr:colOff>
      <xdr:row>3</xdr:row>
      <xdr:rowOff>123825</xdr:rowOff>
    </xdr:from>
    <xdr:ext cx="3305175" cy="20574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48768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Hypnotriod/midi-box-stm32/tree/master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ouser.es/ProductDetail/Wurth-Elektronik/430182070816?qs=wr8lucFkNMXtq9RwGFkUbg%3D%3D&amp;mgh=1&amp;vip=1&amp;utm_id=19105062713&amp;utm_source=google&amp;utm_medium=cpc&amp;utm_marketing_tactic=emeacorp&amp;gad_source=1&amp;gclid=CjwKCAjw7pO_BhAlEiwA4pMQvA6VNTta6TyjCNcReBU8zcO6pBxoisGQWuXhyHh-hUGuzqTtFUHGxRoCs9sQAvD_BwE" TargetMode="External"/><Relationship Id="rId11" Type="http://schemas.openxmlformats.org/officeDocument/2006/relationships/hyperlink" Target="https://shop.lcd-module.com/search?search=W256064-XA" TargetMode="External"/><Relationship Id="rId22" Type="http://schemas.openxmlformats.org/officeDocument/2006/relationships/drawing" Target="../drawings/drawing4.xml"/><Relationship Id="rId10" Type="http://schemas.openxmlformats.org/officeDocument/2006/relationships/hyperlink" Target="https://newhavendisplay.com/es/3-m%C3%B3dulo-oled-gr%C3%A1fico-blanco-de-12-pulgadas/" TargetMode="External"/><Relationship Id="rId21" Type="http://schemas.openxmlformats.org/officeDocument/2006/relationships/hyperlink" Target="https://www.mouser.es/ProductDetail/Alpha-Taiwan/SP70030F-0202-13F1-01-NN?qs=yA6kp8fx8Y48L6RofibbJA%3D%3D" TargetMode="External"/><Relationship Id="rId13" Type="http://schemas.openxmlformats.org/officeDocument/2006/relationships/hyperlink" Target="https://www.digikey.es/es/products/detail/kycon-inc/KLDX-0202-A/9975992?gclsrc=aw.ds&amp;&amp;utm_adgroup=&amp;utm_source=google&amp;utm_medium=cpc&amp;utm_campaign=PMax_Product_All%20Products&amp;utm_term=&amp;productid=9975992&amp;utm_content=&amp;utm_id=go_cmp-20199915072_adg-_ad-__dev-c_ext-_prd-9975992_sig-Cj0KCQjw4v6-BhDuARIsALprm33jwRo7_ADwQJ1XPHdLZ01PpYyCwJkJWyGuoQTNIISiWG1QFtIhmysaAjPFEALw_wcB&amp;gad_source=1&amp;gclid=Cj0KCQjw4v6-BhDuARIsALprm33jwRo7_ADwQJ1XPHdLZ01PpYyCwJkJWyGuoQTNIISiWG1QFtIhmysaAjPFEALw_wcB&amp;gclsrc=aw.ds" TargetMode="External"/><Relationship Id="rId12" Type="http://schemas.openxmlformats.org/officeDocument/2006/relationships/hyperlink" Target="https://newhavendisplay.com/es/3-m%C3%B3dulo-oled-gr%C3%A1fico-blanco-de-12-pulgadas/" TargetMode="External"/><Relationship Id="rId1" Type="http://schemas.openxmlformats.org/officeDocument/2006/relationships/hyperlink" Target="https://www.mouser.es/ProductDetail/Alps-Alpine/RS6011SP6003?qs=3cOf6TWd2rbyy41GF81woQ%3D%3D" TargetMode="External"/><Relationship Id="rId2" Type="http://schemas.openxmlformats.org/officeDocument/2006/relationships/hyperlink" Target="https://www.mouser.es/ProductDetail/Bourns/PTL60-15O1-104B2?qs=nAEW9fCjKd9VkMEfC2OFmQ%3D%3D" TargetMode="External"/><Relationship Id="rId3" Type="http://schemas.openxmlformats.org/officeDocument/2006/relationships/hyperlink" Target="https://www.pjrc.com/store/teensy40.html" TargetMode="External"/><Relationship Id="rId4" Type="http://schemas.openxmlformats.org/officeDocument/2006/relationships/hyperlink" Target="https://www.mouser.es/ProductDetail/Adafruit/1134?qs=GURawfaeGuCcC0%252BrNLxslQ%3D%3D" TargetMode="External"/><Relationship Id="rId9" Type="http://schemas.openxmlformats.org/officeDocument/2006/relationships/hyperlink" Target="https://www.mouser.es/ProductDetail/Kingbright/WP934EW-GD?qs=58z0TXQGVSTZ3lOkUk8wEA%3D%3D" TargetMode="External"/><Relationship Id="rId15" Type="http://schemas.openxmlformats.org/officeDocument/2006/relationships/hyperlink" Target="https://jlcpcb.com/partdetail/AmphenolIcc-12401610E42A/C5119948" TargetMode="External"/><Relationship Id="rId14" Type="http://schemas.openxmlformats.org/officeDocument/2006/relationships/hyperlink" Target="https://jlcpcb.com/partdetail/Xinglight-XL_1608PGC06/C7371905" TargetMode="External"/><Relationship Id="rId17" Type="http://schemas.openxmlformats.org/officeDocument/2006/relationships/hyperlink" Target="https://www.mouser.es/ProductDetail/Amphenol-FCI/10038075-A1PLF?qs=LmzVcvYPptTR2f1ldRPXug%3D%3D" TargetMode="External"/><Relationship Id="rId16" Type="http://schemas.openxmlformats.org/officeDocument/2006/relationships/hyperlink" Target="https://jlcpcb.com/partdetail/19296-PJ_320BSurfaceMount/C18594" TargetMode="External"/><Relationship Id="rId5" Type="http://schemas.openxmlformats.org/officeDocument/2006/relationships/hyperlink" Target="https://www.mouser.es/ProductDetail/Toshiba/74HC4051D?qs=sGAEpiMZZMutXGli8Ay4kN9umiTtPJOt%2FJgohKwEwg0%3D" TargetMode="External"/><Relationship Id="rId19" Type="http://schemas.openxmlformats.org/officeDocument/2006/relationships/hyperlink" Target="https://jlcpcb.com/partdetail/188641-FXL0530_6R8M/C177249" TargetMode="External"/><Relationship Id="rId6" Type="http://schemas.openxmlformats.org/officeDocument/2006/relationships/hyperlink" Target="https://www.mouser.es/ProductDetail/Microchip-Technology/MCP6004-I-SL?qs=n%2FfJlMG9rCZ2%2F%2FCryvZ52w%3D%3D&amp;_gl=1*17xl29c*_ga*dW5kZWZpbmVk*_ga_15W4STQT4T*dW5kZWZpbmVk*_ga_1KQLCYKRX3*dW5kZWZpbmVk" TargetMode="External"/><Relationship Id="rId18" Type="http://schemas.openxmlformats.org/officeDocument/2006/relationships/hyperlink" Target="https://jlcpcb.com/partdetail/Sunlord-SDCL1005C39NJTDF/C26443" TargetMode="External"/><Relationship Id="rId7" Type="http://schemas.openxmlformats.org/officeDocument/2006/relationships/hyperlink" Target="https://m.es.aliexpress.com/item/32766726918.html" TargetMode="External"/><Relationship Id="rId8" Type="http://schemas.openxmlformats.org/officeDocument/2006/relationships/hyperlink" Target="https://es.aliexpress.com/item/1005005187689195.html?spm=a2g0o.productlist.main.11.259aWInWWInWAw&amp;algo_pvid=739665f8-0e76-4668-8e29-005eaeac71c3&amp;algo_exp_id=739665f8-0e76-4668-8e29-005eaeac71c3-5&amp;pdp_ext_f=%7B%22order%22%3A%223021%22%2C%22eval%22%3A%221%22%7D&amp;pdp_npi=4%40dis%21EUR%213.46%211.59%21%21%2126.58%2112.22%21%40211b804117427308057127702e78d9%2112000032029498316%21sea%21ES%214539593715%21X&amp;curPageLogUid=bOgomXS8EbDM&amp;utparam-url=scene%3Asearch%7Cquery_from%3A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newhavendisplay.com/es/3-m%C3%B3dulo-oled-gr%C3%A1fico-blanco-de-12-pulgadas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3" max="3" width="15.0"/>
  </cols>
  <sheetData>
    <row r="4">
      <c r="B4" s="1" t="s">
        <v>0</v>
      </c>
      <c r="C4" s="2"/>
    </row>
    <row r="5">
      <c r="B5" s="3" t="s">
        <v>1</v>
      </c>
      <c r="C5" s="3" t="s">
        <v>2</v>
      </c>
      <c r="E5" s="4" t="s">
        <v>3</v>
      </c>
    </row>
    <row r="6">
      <c r="B6" s="3" t="s">
        <v>4</v>
      </c>
      <c r="C6" s="3" t="s">
        <v>5</v>
      </c>
      <c r="E6" s="4" t="s">
        <v>6</v>
      </c>
    </row>
    <row r="7">
      <c r="B7" s="3" t="s">
        <v>7</v>
      </c>
      <c r="C7" s="5"/>
      <c r="E7" s="4" t="s">
        <v>8</v>
      </c>
    </row>
    <row r="8">
      <c r="B8" s="3" t="s">
        <v>9</v>
      </c>
      <c r="C8" s="3" t="s">
        <v>10</v>
      </c>
      <c r="E8" s="4" t="s">
        <v>11</v>
      </c>
    </row>
    <row r="9">
      <c r="B9" s="3" t="s">
        <v>12</v>
      </c>
      <c r="C9" s="3" t="s">
        <v>13</v>
      </c>
      <c r="E9" s="4" t="s">
        <v>14</v>
      </c>
    </row>
    <row r="10">
      <c r="B10" s="3" t="s">
        <v>15</v>
      </c>
      <c r="C10" s="5"/>
      <c r="E10" s="4" t="s">
        <v>16</v>
      </c>
    </row>
    <row r="11">
      <c r="B11" s="3" t="s">
        <v>17</v>
      </c>
      <c r="C11" s="3" t="s">
        <v>18</v>
      </c>
    </row>
    <row r="12">
      <c r="B12" s="3" t="s">
        <v>19</v>
      </c>
      <c r="C12" s="3" t="s">
        <v>20</v>
      </c>
    </row>
    <row r="13">
      <c r="B13" s="3" t="s">
        <v>21</v>
      </c>
      <c r="C13" s="3" t="s">
        <v>10</v>
      </c>
    </row>
    <row r="15">
      <c r="B15" s="1" t="s">
        <v>22</v>
      </c>
      <c r="C15" s="2"/>
    </row>
    <row r="16">
      <c r="B16" s="3" t="s">
        <v>23</v>
      </c>
      <c r="C16" s="3" t="s">
        <v>24</v>
      </c>
    </row>
    <row r="17">
      <c r="B17" s="3" t="s">
        <v>25</v>
      </c>
      <c r="C17" s="3" t="s">
        <v>26</v>
      </c>
    </row>
    <row r="18">
      <c r="B18" s="3" t="s">
        <v>27</v>
      </c>
      <c r="C18" s="5"/>
    </row>
    <row r="19">
      <c r="B19" s="3" t="s">
        <v>28</v>
      </c>
      <c r="C19" s="5"/>
    </row>
    <row r="20">
      <c r="B20" s="5"/>
      <c r="C20" s="5"/>
    </row>
    <row r="21">
      <c r="B21" s="5"/>
      <c r="C21" s="5"/>
    </row>
    <row r="22">
      <c r="B22" s="5"/>
      <c r="C22" s="5"/>
    </row>
    <row r="23">
      <c r="B23" s="5"/>
      <c r="C23" s="5"/>
    </row>
    <row r="24">
      <c r="B24" s="5"/>
      <c r="C24" s="5"/>
    </row>
  </sheetData>
  <mergeCells count="2">
    <mergeCell ref="B4:C4"/>
    <mergeCell ref="B15:C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14.75"/>
    <col customWidth="1" min="5" max="5" width="17.25"/>
    <col customWidth="1" min="6" max="6" width="28.13"/>
    <col customWidth="1" min="7" max="7" width="27.0"/>
  </cols>
  <sheetData>
    <row r="2">
      <c r="B2" s="6" t="s">
        <v>29</v>
      </c>
    </row>
    <row r="5">
      <c r="A5" s="7"/>
      <c r="B5" s="8" t="s">
        <v>30</v>
      </c>
      <c r="C5" s="8" t="s">
        <v>31</v>
      </c>
      <c r="D5" s="8" t="s">
        <v>32</v>
      </c>
      <c r="E5" s="8" t="s">
        <v>33</v>
      </c>
      <c r="F5" s="8" t="s">
        <v>34</v>
      </c>
      <c r="G5" s="8" t="s">
        <v>35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48.0" customHeight="1">
      <c r="A6" s="9"/>
      <c r="B6" s="10" t="s">
        <v>36</v>
      </c>
      <c r="C6" s="10" t="s">
        <v>37</v>
      </c>
      <c r="D6" s="10" t="s">
        <v>38</v>
      </c>
      <c r="E6" s="10" t="s">
        <v>39</v>
      </c>
      <c r="F6" s="11"/>
      <c r="G6" s="10" t="s">
        <v>40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48.0" hidden="1" customHeight="1">
      <c r="A7" s="9"/>
      <c r="B7" s="10" t="s">
        <v>41</v>
      </c>
      <c r="C7" s="10" t="s">
        <v>42</v>
      </c>
      <c r="D7" s="10" t="s">
        <v>43</v>
      </c>
      <c r="E7" s="10" t="s">
        <v>44</v>
      </c>
      <c r="F7" s="11"/>
      <c r="G7" s="10" t="s">
        <v>45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48.0" hidden="1" customHeight="1">
      <c r="A8" s="9"/>
      <c r="B8" s="10" t="s">
        <v>46</v>
      </c>
      <c r="C8" s="10" t="s">
        <v>47</v>
      </c>
      <c r="D8" s="10" t="s">
        <v>38</v>
      </c>
      <c r="E8" s="10" t="s">
        <v>44</v>
      </c>
      <c r="F8" s="10" t="s">
        <v>48</v>
      </c>
      <c r="G8" s="10" t="s">
        <v>49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48.0" hidden="1" customHeight="1">
      <c r="A9" s="9"/>
      <c r="B9" s="10" t="s">
        <v>50</v>
      </c>
      <c r="C9" s="10" t="s">
        <v>42</v>
      </c>
      <c r="D9" s="10" t="s">
        <v>38</v>
      </c>
      <c r="E9" s="10" t="s">
        <v>44</v>
      </c>
      <c r="F9" s="11"/>
      <c r="G9" s="10" t="s">
        <v>51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48.0" hidden="1" customHeight="1">
      <c r="A10" s="9"/>
      <c r="B10" s="10" t="s">
        <v>52</v>
      </c>
      <c r="C10" s="10" t="s">
        <v>53</v>
      </c>
      <c r="D10" s="10" t="s">
        <v>54</v>
      </c>
      <c r="E10" s="10" t="s">
        <v>44</v>
      </c>
      <c r="F10" s="10" t="s">
        <v>55</v>
      </c>
      <c r="G10" s="10" t="s">
        <v>56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48.0" customHeight="1">
      <c r="A11" s="9"/>
      <c r="B11" s="10" t="s">
        <v>57</v>
      </c>
      <c r="C11" s="10" t="s">
        <v>53</v>
      </c>
      <c r="D11" s="10" t="s">
        <v>54</v>
      </c>
      <c r="E11" s="10" t="s">
        <v>58</v>
      </c>
      <c r="F11" s="11"/>
      <c r="G11" s="10" t="s">
        <v>59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48.0" customHeight="1">
      <c r="A12" s="9"/>
      <c r="B12" s="10" t="s">
        <v>60</v>
      </c>
      <c r="C12" s="10" t="s">
        <v>61</v>
      </c>
      <c r="D12" s="10" t="s">
        <v>43</v>
      </c>
      <c r="E12" s="10" t="s">
        <v>58</v>
      </c>
      <c r="F12" s="11"/>
      <c r="G12" s="10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48.0" customHeight="1">
      <c r="A13" s="9"/>
      <c r="B13" s="10" t="s">
        <v>62</v>
      </c>
      <c r="C13" s="12" t="s">
        <v>42</v>
      </c>
      <c r="D13" s="10" t="s">
        <v>54</v>
      </c>
      <c r="E13" s="10" t="s">
        <v>39</v>
      </c>
      <c r="F13" s="11"/>
      <c r="G13" s="10" t="s">
        <v>63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48.0" customHeight="1">
      <c r="A14" s="9"/>
      <c r="B14" s="10" t="s">
        <v>64</v>
      </c>
      <c r="C14" s="12" t="s">
        <v>42</v>
      </c>
      <c r="D14" s="10" t="s">
        <v>43</v>
      </c>
      <c r="E14" s="10" t="s">
        <v>58</v>
      </c>
      <c r="F14" s="11"/>
      <c r="G14" s="10" t="s">
        <v>65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48.0" customHeight="1">
      <c r="A15" s="9"/>
      <c r="B15" s="10" t="s">
        <v>66</v>
      </c>
      <c r="C15" s="12" t="s">
        <v>67</v>
      </c>
      <c r="D15" s="10" t="s">
        <v>43</v>
      </c>
      <c r="E15" s="10" t="s">
        <v>58</v>
      </c>
      <c r="F15" s="11"/>
      <c r="G15" s="10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48.0" customHeight="1">
      <c r="A16" s="9"/>
      <c r="B16" s="10" t="s">
        <v>68</v>
      </c>
      <c r="C16" s="12" t="s">
        <v>69</v>
      </c>
      <c r="D16" s="10" t="s">
        <v>54</v>
      </c>
      <c r="E16" s="10" t="s">
        <v>58</v>
      </c>
      <c r="F16" s="11"/>
      <c r="G16" s="10" t="s">
        <v>70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48.0" hidden="1" customHeight="1">
      <c r="A17" s="9"/>
      <c r="B17" s="10" t="s">
        <v>71</v>
      </c>
      <c r="C17" s="12" t="s">
        <v>42</v>
      </c>
      <c r="D17" s="10" t="s">
        <v>38</v>
      </c>
      <c r="E17" s="10" t="s">
        <v>44</v>
      </c>
      <c r="F17" s="10" t="s">
        <v>72</v>
      </c>
      <c r="G17" s="11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48.0" customHeight="1">
      <c r="A18" s="9"/>
      <c r="B18" s="10" t="s">
        <v>73</v>
      </c>
      <c r="C18" s="12" t="s">
        <v>42</v>
      </c>
      <c r="D18" s="10" t="s">
        <v>54</v>
      </c>
      <c r="E18" s="10" t="s">
        <v>39</v>
      </c>
      <c r="F18" s="11"/>
      <c r="G18" s="10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48.0" customHeight="1">
      <c r="A19" s="9"/>
      <c r="B19" s="10" t="s">
        <v>74</v>
      </c>
      <c r="C19" s="12" t="s">
        <v>42</v>
      </c>
      <c r="D19" s="10" t="s">
        <v>54</v>
      </c>
      <c r="E19" s="10" t="s">
        <v>39</v>
      </c>
      <c r="F19" s="11"/>
      <c r="G19" s="10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48.0" customHeight="1">
      <c r="A20" s="9"/>
      <c r="B20" s="10" t="s">
        <v>75</v>
      </c>
      <c r="C20" s="12" t="s">
        <v>42</v>
      </c>
      <c r="D20" s="10" t="s">
        <v>54</v>
      </c>
      <c r="E20" s="10" t="s">
        <v>39</v>
      </c>
      <c r="F20" s="10" t="s">
        <v>76</v>
      </c>
      <c r="G20" s="11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48.0" customHeight="1">
      <c r="A21" s="9"/>
      <c r="B21" s="10" t="s">
        <v>77</v>
      </c>
      <c r="C21" s="12" t="s">
        <v>42</v>
      </c>
      <c r="D21" s="10" t="s">
        <v>38</v>
      </c>
      <c r="E21" s="10" t="s">
        <v>39</v>
      </c>
      <c r="F21" s="10" t="s">
        <v>78</v>
      </c>
      <c r="G21" s="10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48.0" customHeight="1">
      <c r="A22" s="9"/>
      <c r="B22" s="10" t="s">
        <v>79</v>
      </c>
      <c r="C22" s="12" t="s">
        <v>42</v>
      </c>
      <c r="D22" s="10" t="s">
        <v>54</v>
      </c>
      <c r="E22" s="10" t="s">
        <v>39</v>
      </c>
      <c r="F22" s="10" t="s">
        <v>80</v>
      </c>
      <c r="G22" s="10" t="s">
        <v>81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48.0" customHeight="1">
      <c r="A23" s="9"/>
      <c r="B23" s="10" t="s">
        <v>82</v>
      </c>
      <c r="C23" s="12" t="s">
        <v>42</v>
      </c>
      <c r="D23" s="10" t="s">
        <v>54</v>
      </c>
      <c r="E23" s="10" t="s">
        <v>39</v>
      </c>
      <c r="F23" s="10" t="s">
        <v>83</v>
      </c>
      <c r="G23" s="13" t="s">
        <v>84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48.0" customHeight="1">
      <c r="A24" s="9"/>
      <c r="B24" s="10" t="s">
        <v>85</v>
      </c>
      <c r="C24" s="12" t="s">
        <v>42</v>
      </c>
      <c r="D24" s="10" t="s">
        <v>54</v>
      </c>
      <c r="E24" s="10" t="s">
        <v>58</v>
      </c>
      <c r="F24" s="11"/>
      <c r="G24" s="1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48.0" hidden="1" customHeight="1">
      <c r="A25" s="9"/>
      <c r="B25" s="10" t="s">
        <v>86</v>
      </c>
      <c r="C25" s="12" t="s">
        <v>42</v>
      </c>
      <c r="D25" s="10" t="s">
        <v>54</v>
      </c>
      <c r="E25" s="10" t="s">
        <v>44</v>
      </c>
      <c r="F25" s="10"/>
      <c r="G25" s="10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48.0" hidden="1" customHeight="1">
      <c r="A26" s="9"/>
      <c r="B26" s="10" t="s">
        <v>87</v>
      </c>
      <c r="C26" s="12" t="s">
        <v>42</v>
      </c>
      <c r="D26" s="10" t="s">
        <v>38</v>
      </c>
      <c r="E26" s="10" t="s">
        <v>44</v>
      </c>
      <c r="F26" s="11"/>
      <c r="G26" s="10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48.0" customHeight="1">
      <c r="A27" s="9"/>
      <c r="B27" s="10" t="s">
        <v>88</v>
      </c>
      <c r="C27" s="12" t="s">
        <v>42</v>
      </c>
      <c r="D27" s="10" t="s">
        <v>43</v>
      </c>
      <c r="E27" s="10" t="s">
        <v>58</v>
      </c>
      <c r="F27" s="11"/>
      <c r="G27" s="1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48.0" customHeight="1">
      <c r="A28" s="9"/>
      <c r="B28" s="10" t="s">
        <v>89</v>
      </c>
      <c r="C28" s="12" t="s">
        <v>69</v>
      </c>
      <c r="D28" s="10" t="s">
        <v>54</v>
      </c>
      <c r="E28" s="10" t="s">
        <v>39</v>
      </c>
      <c r="F28" s="10" t="s">
        <v>90</v>
      </c>
      <c r="G28" s="11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48.0" hidden="1" customHeight="1">
      <c r="A29" s="9"/>
      <c r="B29" s="10" t="s">
        <v>91</v>
      </c>
      <c r="C29" s="12" t="s">
        <v>69</v>
      </c>
      <c r="D29" s="10" t="s">
        <v>54</v>
      </c>
      <c r="E29" s="10" t="s">
        <v>44</v>
      </c>
      <c r="F29" s="10" t="s">
        <v>92</v>
      </c>
      <c r="G29" s="11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48.0" customHeight="1">
      <c r="A30" s="9"/>
      <c r="B30" s="10" t="s">
        <v>93</v>
      </c>
      <c r="C30" s="12" t="s">
        <v>69</v>
      </c>
      <c r="D30" s="10" t="s">
        <v>38</v>
      </c>
      <c r="E30" s="10" t="s">
        <v>39</v>
      </c>
      <c r="F30" s="11"/>
      <c r="G30" s="10" t="s">
        <v>94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48.0" customHeight="1">
      <c r="A31" s="9"/>
      <c r="B31" s="10" t="s">
        <v>95</v>
      </c>
      <c r="C31" s="12" t="s">
        <v>37</v>
      </c>
      <c r="D31" s="10" t="s">
        <v>38</v>
      </c>
      <c r="E31" s="10" t="s">
        <v>58</v>
      </c>
      <c r="F31" s="10" t="s">
        <v>96</v>
      </c>
      <c r="G31" s="11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48.0" customHeight="1">
      <c r="A32" s="9"/>
      <c r="B32" s="10" t="s">
        <v>97</v>
      </c>
      <c r="C32" s="12" t="s">
        <v>69</v>
      </c>
      <c r="D32" s="10" t="s">
        <v>38</v>
      </c>
      <c r="E32" s="10" t="s">
        <v>39</v>
      </c>
      <c r="F32" s="11"/>
      <c r="G32" s="11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48.0" customHeight="1">
      <c r="A33" s="9"/>
      <c r="B33" s="11"/>
      <c r="C33" s="11"/>
      <c r="D33" s="11"/>
      <c r="E33" s="11"/>
      <c r="F33" s="11"/>
      <c r="G33" s="11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48.0" customHeight="1">
      <c r="A34" s="9"/>
      <c r="B34" s="11"/>
      <c r="C34" s="11"/>
      <c r="D34" s="11"/>
      <c r="E34" s="11"/>
      <c r="F34" s="11"/>
      <c r="G34" s="11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48.0" customHeight="1">
      <c r="A35" s="9"/>
      <c r="B35" s="11"/>
      <c r="C35" s="11"/>
      <c r="D35" s="11"/>
      <c r="E35" s="11"/>
      <c r="F35" s="11"/>
      <c r="G35" s="11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48.0" customHeight="1">
      <c r="A36" s="9"/>
      <c r="B36" s="11"/>
      <c r="C36" s="11"/>
      <c r="D36" s="11"/>
      <c r="E36" s="11"/>
      <c r="F36" s="11"/>
      <c r="G36" s="11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48.0" customHeight="1">
      <c r="A37" s="9"/>
      <c r="B37" s="11"/>
      <c r="C37" s="11"/>
      <c r="D37" s="11"/>
      <c r="E37" s="11"/>
      <c r="F37" s="11"/>
      <c r="G37" s="11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48.0" customHeight="1">
      <c r="A38" s="9"/>
      <c r="B38" s="11"/>
      <c r="C38" s="11"/>
      <c r="D38" s="11"/>
      <c r="E38" s="11"/>
      <c r="F38" s="11"/>
      <c r="G38" s="11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48.0" customHeight="1">
      <c r="A39" s="9"/>
      <c r="B39" s="11"/>
      <c r="C39" s="11"/>
      <c r="D39" s="11"/>
      <c r="E39" s="11"/>
      <c r="F39" s="11"/>
      <c r="G39" s="11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48.0" customHeight="1">
      <c r="A40" s="9"/>
      <c r="B40" s="11"/>
      <c r="C40" s="11"/>
      <c r="D40" s="11"/>
      <c r="E40" s="11"/>
      <c r="F40" s="11"/>
      <c r="G40" s="11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48.0" customHeight="1">
      <c r="A41" s="9"/>
      <c r="B41" s="11"/>
      <c r="C41" s="11"/>
      <c r="D41" s="11"/>
      <c r="E41" s="11"/>
      <c r="F41" s="11"/>
      <c r="G41" s="11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48.0" customHeight="1">
      <c r="A42" s="9"/>
      <c r="B42" s="11"/>
      <c r="C42" s="11"/>
      <c r="D42" s="11"/>
      <c r="E42" s="11"/>
      <c r="F42" s="11"/>
      <c r="G42" s="11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48.0" customHeight="1">
      <c r="A43" s="9"/>
      <c r="B43" s="11"/>
      <c r="C43" s="11"/>
      <c r="D43" s="11"/>
      <c r="E43" s="11"/>
      <c r="F43" s="11"/>
      <c r="G43" s="11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48.0" customHeight="1">
      <c r="A44" s="9"/>
      <c r="B44" s="11"/>
      <c r="C44" s="11"/>
      <c r="D44" s="11"/>
      <c r="E44" s="11"/>
      <c r="F44" s="11"/>
      <c r="G44" s="11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48.0" customHeight="1">
      <c r="A45" s="9"/>
      <c r="B45" s="11"/>
      <c r="C45" s="11"/>
      <c r="D45" s="11"/>
      <c r="E45" s="11"/>
      <c r="F45" s="11"/>
      <c r="G45" s="11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48.0" customHeight="1">
      <c r="A46" s="9"/>
      <c r="B46" s="11"/>
      <c r="C46" s="11"/>
      <c r="D46" s="11"/>
      <c r="E46" s="11"/>
      <c r="F46" s="11"/>
      <c r="G46" s="11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48.0" customHeight="1">
      <c r="A47" s="9"/>
      <c r="B47" s="11"/>
      <c r="C47" s="11"/>
      <c r="D47" s="11"/>
      <c r="E47" s="11"/>
      <c r="F47" s="11"/>
      <c r="G47" s="11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48.0" customHeight="1">
      <c r="A48" s="9"/>
      <c r="B48" s="11"/>
      <c r="C48" s="11"/>
      <c r="D48" s="11"/>
      <c r="E48" s="11"/>
      <c r="F48" s="11"/>
      <c r="G48" s="11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48.0" customHeight="1">
      <c r="A49" s="9"/>
      <c r="B49" s="11"/>
      <c r="C49" s="11"/>
      <c r="D49" s="11"/>
      <c r="E49" s="11"/>
      <c r="F49" s="11"/>
      <c r="G49" s="11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48.0" customHeight="1">
      <c r="A50" s="9"/>
      <c r="B50" s="11"/>
      <c r="C50" s="11"/>
      <c r="D50" s="11"/>
      <c r="E50" s="11"/>
      <c r="F50" s="11"/>
      <c r="G50" s="11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48.0" customHeight="1">
      <c r="A51" s="9"/>
      <c r="B51" s="11"/>
      <c r="C51" s="11"/>
      <c r="D51" s="11"/>
      <c r="E51" s="11"/>
      <c r="F51" s="11"/>
      <c r="G51" s="11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48.0" customHeight="1">
      <c r="A52" s="9"/>
      <c r="B52" s="11"/>
      <c r="C52" s="11"/>
      <c r="D52" s="11"/>
      <c r="E52" s="11"/>
      <c r="F52" s="11"/>
      <c r="G52" s="11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48.0" customHeight="1">
      <c r="A53" s="9"/>
      <c r="B53" s="11"/>
      <c r="C53" s="11"/>
      <c r="D53" s="11"/>
      <c r="E53" s="11"/>
      <c r="F53" s="11"/>
      <c r="G53" s="11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48.0" customHeight="1">
      <c r="A54" s="9"/>
      <c r="B54" s="11"/>
      <c r="C54" s="11"/>
      <c r="D54" s="11"/>
      <c r="E54" s="11"/>
      <c r="F54" s="11"/>
      <c r="G54" s="11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48.0" customHeight="1">
      <c r="A55" s="9"/>
      <c r="B55" s="11"/>
      <c r="C55" s="11"/>
      <c r="D55" s="11"/>
      <c r="E55" s="11"/>
      <c r="F55" s="11"/>
      <c r="G55" s="11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48.0" customHeight="1">
      <c r="A56" s="9"/>
      <c r="B56" s="11"/>
      <c r="C56" s="11"/>
      <c r="D56" s="11"/>
      <c r="E56" s="11"/>
      <c r="F56" s="11"/>
      <c r="G56" s="11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48.0" customHeight="1">
      <c r="A57" s="9"/>
      <c r="B57" s="11"/>
      <c r="C57" s="11"/>
      <c r="D57" s="11"/>
      <c r="E57" s="11"/>
      <c r="F57" s="11"/>
      <c r="G57" s="11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48.0" customHeight="1">
      <c r="A58" s="9"/>
      <c r="B58" s="11"/>
      <c r="C58" s="11"/>
      <c r="D58" s="11"/>
      <c r="E58" s="11"/>
      <c r="F58" s="11"/>
      <c r="G58" s="11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48.0" customHeight="1">
      <c r="A59" s="9"/>
      <c r="B59" s="11"/>
      <c r="C59" s="11"/>
      <c r="D59" s="11"/>
      <c r="E59" s="11"/>
      <c r="F59" s="11"/>
      <c r="G59" s="11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48.0" customHeight="1">
      <c r="A60" s="9"/>
      <c r="B60" s="11"/>
      <c r="C60" s="11"/>
      <c r="D60" s="11"/>
      <c r="E60" s="11"/>
      <c r="F60" s="11"/>
      <c r="G60" s="11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48.0" customHeight="1">
      <c r="A61" s="9"/>
      <c r="B61" s="11"/>
      <c r="C61" s="11"/>
      <c r="D61" s="11"/>
      <c r="E61" s="11"/>
      <c r="F61" s="11"/>
      <c r="G61" s="11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48.0" customHeight="1">
      <c r="A62" s="9"/>
      <c r="B62" s="11"/>
      <c r="C62" s="11"/>
      <c r="D62" s="11"/>
      <c r="E62" s="11"/>
      <c r="F62" s="11"/>
      <c r="G62" s="11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48.0" customHeight="1">
      <c r="A63" s="9"/>
      <c r="B63" s="11"/>
      <c r="C63" s="11"/>
      <c r="D63" s="11"/>
      <c r="E63" s="11"/>
      <c r="F63" s="11"/>
      <c r="G63" s="11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48.0" customHeight="1">
      <c r="A64" s="9"/>
      <c r="B64" s="11"/>
      <c r="C64" s="11"/>
      <c r="D64" s="11"/>
      <c r="E64" s="11"/>
      <c r="F64" s="11"/>
      <c r="G64" s="11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48.0" customHeight="1">
      <c r="A65" s="9"/>
      <c r="B65" s="11"/>
      <c r="C65" s="11"/>
      <c r="D65" s="11"/>
      <c r="E65" s="11"/>
      <c r="F65" s="11"/>
      <c r="G65" s="11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48.0" customHeight="1">
      <c r="A66" s="9"/>
      <c r="B66" s="11"/>
      <c r="C66" s="11"/>
      <c r="D66" s="11"/>
      <c r="E66" s="11"/>
      <c r="F66" s="11"/>
      <c r="G66" s="11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48.0" customHeight="1">
      <c r="A67" s="9"/>
      <c r="B67" s="11"/>
      <c r="C67" s="11"/>
      <c r="D67" s="11"/>
      <c r="E67" s="11"/>
      <c r="F67" s="11"/>
      <c r="G67" s="11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48.0" customHeight="1">
      <c r="A68" s="9"/>
      <c r="B68" s="11"/>
      <c r="C68" s="11"/>
      <c r="D68" s="11"/>
      <c r="E68" s="11"/>
      <c r="F68" s="11"/>
      <c r="G68" s="11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48.0" customHeight="1">
      <c r="A69" s="9"/>
      <c r="B69" s="11"/>
      <c r="C69" s="11"/>
      <c r="D69" s="11"/>
      <c r="E69" s="11"/>
      <c r="F69" s="11"/>
      <c r="G69" s="11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48.0" customHeight="1">
      <c r="A70" s="9"/>
      <c r="B70" s="11"/>
      <c r="C70" s="11"/>
      <c r="D70" s="11"/>
      <c r="E70" s="11"/>
      <c r="F70" s="11"/>
      <c r="G70" s="11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48.0" customHeight="1">
      <c r="A71" s="9"/>
      <c r="B71" s="11"/>
      <c r="C71" s="11"/>
      <c r="D71" s="11"/>
      <c r="E71" s="11"/>
      <c r="F71" s="11"/>
      <c r="G71" s="11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48.0" customHeight="1">
      <c r="A72" s="9"/>
      <c r="B72" s="11"/>
      <c r="C72" s="11"/>
      <c r="D72" s="11"/>
      <c r="E72" s="11"/>
      <c r="F72" s="11"/>
      <c r="G72" s="11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48.0" customHeight="1">
      <c r="A73" s="9"/>
      <c r="B73" s="11"/>
      <c r="C73" s="11"/>
      <c r="D73" s="11"/>
      <c r="E73" s="11"/>
      <c r="F73" s="11"/>
      <c r="G73" s="11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48.0" customHeight="1">
      <c r="A74" s="9"/>
      <c r="B74" s="11"/>
      <c r="C74" s="11"/>
      <c r="D74" s="11"/>
      <c r="E74" s="11"/>
      <c r="F74" s="11"/>
      <c r="G74" s="11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48.0" customHeight="1">
      <c r="A75" s="9"/>
      <c r="B75" s="11"/>
      <c r="C75" s="11"/>
      <c r="D75" s="11"/>
      <c r="E75" s="11"/>
      <c r="F75" s="11"/>
      <c r="G75" s="11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48.0" customHeight="1">
      <c r="A76" s="9"/>
      <c r="B76" s="11"/>
      <c r="C76" s="11"/>
      <c r="D76" s="11"/>
      <c r="E76" s="11"/>
      <c r="F76" s="11"/>
      <c r="G76" s="11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48.0" customHeight="1">
      <c r="A77" s="9"/>
      <c r="B77" s="11"/>
      <c r="C77" s="11"/>
      <c r="D77" s="11"/>
      <c r="E77" s="11"/>
      <c r="F77" s="11"/>
      <c r="G77" s="11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48.0" customHeight="1">
      <c r="A78" s="9"/>
      <c r="B78" s="11"/>
      <c r="C78" s="11"/>
      <c r="D78" s="11"/>
      <c r="E78" s="11"/>
      <c r="F78" s="11"/>
      <c r="G78" s="11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48.0" customHeight="1">
      <c r="A79" s="9"/>
      <c r="B79" s="11"/>
      <c r="C79" s="11"/>
      <c r="D79" s="11"/>
      <c r="E79" s="11"/>
      <c r="F79" s="11"/>
      <c r="G79" s="11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48.0" customHeight="1">
      <c r="A80" s="9"/>
      <c r="B80" s="11"/>
      <c r="C80" s="11"/>
      <c r="D80" s="11"/>
      <c r="E80" s="11"/>
      <c r="F80" s="11"/>
      <c r="G80" s="11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48.0" customHeight="1">
      <c r="A81" s="9"/>
      <c r="B81" s="11"/>
      <c r="C81" s="11"/>
      <c r="D81" s="11"/>
      <c r="E81" s="11"/>
      <c r="F81" s="11"/>
      <c r="G81" s="11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48.0" customHeight="1">
      <c r="A82" s="9"/>
      <c r="B82" s="11"/>
      <c r="C82" s="11"/>
      <c r="D82" s="11"/>
      <c r="E82" s="11"/>
      <c r="F82" s="11"/>
      <c r="G82" s="11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48.0" customHeight="1">
      <c r="A83" s="9"/>
      <c r="B83" s="11"/>
      <c r="C83" s="11"/>
      <c r="D83" s="11"/>
      <c r="E83" s="11"/>
      <c r="F83" s="11"/>
      <c r="G83" s="11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</sheetData>
  <autoFilter ref="$C$5:$F$32">
    <filterColumn colId="2">
      <filters>
        <filter val="En progreso"/>
        <filter val="No empezado"/>
      </filters>
    </filterColumn>
  </autoFilter>
  <mergeCells count="1">
    <mergeCell ref="B2:G3"/>
  </mergeCells>
  <dataValidations>
    <dataValidation type="list" allowBlank="1" showErrorMessage="1" sqref="C6:C83">
      <formula1>"Software,Hardware,Diseño,Compra,Pensar,Otros"</formula1>
    </dataValidation>
    <dataValidation type="list" allowBlank="1" showErrorMessage="1" sqref="D6:D83">
      <formula1>"Alta,Media,Baja"</formula1>
    </dataValidation>
    <dataValidation type="list" allowBlank="1" showErrorMessage="1" sqref="E6:E83">
      <formula1>"No empezado,En progreso,Finalizado"</formula1>
    </dataValidation>
  </dataValidations>
  <hyperlinks>
    <hyperlink r:id="rId1" ref="G2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88"/>
  </cols>
  <sheetData>
    <row r="2">
      <c r="C2" s="14"/>
      <c r="D2" s="14"/>
      <c r="E2" s="14"/>
      <c r="F2" s="14"/>
      <c r="G2" s="14"/>
      <c r="H2" s="14"/>
      <c r="I2" s="14"/>
      <c r="J2" s="14"/>
    </row>
    <row r="3">
      <c r="C3" s="15" t="s">
        <v>98</v>
      </c>
      <c r="D3" s="15" t="s">
        <v>99</v>
      </c>
      <c r="E3" s="15" t="s">
        <v>100</v>
      </c>
      <c r="F3" s="15" t="s">
        <v>101</v>
      </c>
      <c r="G3" s="15" t="s">
        <v>102</v>
      </c>
      <c r="H3" s="15" t="s">
        <v>103</v>
      </c>
      <c r="I3" s="15" t="s">
        <v>104</v>
      </c>
      <c r="J3" s="15" t="s">
        <v>105</v>
      </c>
    </row>
    <row r="4">
      <c r="C4" s="4" t="s">
        <v>106</v>
      </c>
      <c r="D4" s="4" t="s">
        <v>107</v>
      </c>
      <c r="E4" s="4" t="s">
        <v>108</v>
      </c>
      <c r="G4" s="4">
        <v>16.0</v>
      </c>
      <c r="H4" s="16">
        <v>4.68</v>
      </c>
      <c r="I4" s="16">
        <f t="shared" ref="I4:I7" si="1">G4*H4</f>
        <v>74.88</v>
      </c>
      <c r="J4" s="17" t="s">
        <v>109</v>
      </c>
    </row>
    <row r="5">
      <c r="C5" s="4" t="s">
        <v>106</v>
      </c>
      <c r="D5" s="4" t="s">
        <v>110</v>
      </c>
      <c r="E5" s="4" t="s">
        <v>111</v>
      </c>
      <c r="G5" s="4">
        <v>16.0</v>
      </c>
      <c r="H5" s="16">
        <v>2.65</v>
      </c>
      <c r="I5" s="16">
        <f t="shared" si="1"/>
        <v>42.4</v>
      </c>
      <c r="J5" s="17" t="s">
        <v>112</v>
      </c>
    </row>
    <row r="6">
      <c r="H6" s="18"/>
      <c r="I6" s="16">
        <f t="shared" si="1"/>
        <v>0</v>
      </c>
    </row>
    <row r="7">
      <c r="C7" s="4" t="s">
        <v>113</v>
      </c>
      <c r="D7" s="4" t="s">
        <v>114</v>
      </c>
      <c r="G7" s="4">
        <v>1.0</v>
      </c>
      <c r="H7" s="16">
        <v>21.7</v>
      </c>
      <c r="I7" s="16">
        <f t="shared" si="1"/>
        <v>21.7</v>
      </c>
      <c r="J7" s="17" t="s">
        <v>115</v>
      </c>
    </row>
    <row r="8">
      <c r="C8" s="4" t="s">
        <v>116</v>
      </c>
      <c r="D8" s="19" t="s">
        <v>117</v>
      </c>
      <c r="G8" s="18"/>
      <c r="H8" s="16">
        <v>1.65</v>
      </c>
      <c r="I8" s="18"/>
      <c r="J8" s="17" t="s">
        <v>118</v>
      </c>
    </row>
    <row r="9">
      <c r="C9" s="4" t="s">
        <v>119</v>
      </c>
      <c r="D9" s="19" t="s">
        <v>120</v>
      </c>
      <c r="E9" s="4" t="s">
        <v>121</v>
      </c>
      <c r="G9" s="18"/>
      <c r="H9" s="16">
        <v>0.461</v>
      </c>
      <c r="I9" s="18"/>
      <c r="J9" s="17" t="s">
        <v>122</v>
      </c>
    </row>
    <row r="10">
      <c r="H10" s="18"/>
      <c r="I10" s="18"/>
    </row>
    <row r="11">
      <c r="C11" s="4" t="s">
        <v>123</v>
      </c>
      <c r="D11" s="19" t="s">
        <v>124</v>
      </c>
      <c r="E11" s="4" t="s">
        <v>125</v>
      </c>
      <c r="H11" s="16">
        <v>0.508</v>
      </c>
      <c r="I11" s="18"/>
      <c r="J11" s="17" t="s">
        <v>126</v>
      </c>
    </row>
    <row r="12">
      <c r="C12" s="4" t="s">
        <v>127</v>
      </c>
      <c r="E12" s="4" t="s">
        <v>128</v>
      </c>
      <c r="H12" s="16">
        <v>1.66</v>
      </c>
      <c r="I12" s="18"/>
      <c r="J12" s="17" t="s">
        <v>129</v>
      </c>
    </row>
    <row r="13">
      <c r="H13" s="18"/>
      <c r="I13" s="18"/>
    </row>
    <row r="14">
      <c r="C14" s="4" t="s">
        <v>130</v>
      </c>
      <c r="D14" s="17" t="s">
        <v>131</v>
      </c>
      <c r="H14" s="18"/>
      <c r="I14" s="18"/>
    </row>
    <row r="15">
      <c r="H15" s="18"/>
      <c r="I15" s="18"/>
    </row>
    <row r="16">
      <c r="H16" s="18"/>
      <c r="I16" s="18"/>
    </row>
    <row r="17">
      <c r="H17" s="18"/>
      <c r="I17" s="18"/>
    </row>
    <row r="18">
      <c r="C18" s="4" t="s">
        <v>132</v>
      </c>
      <c r="D18" s="20" t="s">
        <v>133</v>
      </c>
      <c r="H18" s="18"/>
      <c r="I18" s="18"/>
    </row>
    <row r="19">
      <c r="C19" s="4" t="s">
        <v>134</v>
      </c>
      <c r="D19" s="20" t="s">
        <v>135</v>
      </c>
      <c r="E19" s="20" t="s">
        <v>136</v>
      </c>
      <c r="H19" s="18"/>
      <c r="I19" s="21" t="s">
        <v>135</v>
      </c>
    </row>
    <row r="20">
      <c r="C20" s="4" t="s">
        <v>137</v>
      </c>
      <c r="D20" s="17" t="s">
        <v>138</v>
      </c>
      <c r="H20" s="18"/>
    </row>
    <row r="21">
      <c r="C21" s="4" t="s">
        <v>139</v>
      </c>
      <c r="D21" s="17" t="s">
        <v>140</v>
      </c>
    </row>
    <row r="22">
      <c r="C22" s="4" t="s">
        <v>141</v>
      </c>
      <c r="D22" s="17" t="s">
        <v>142</v>
      </c>
    </row>
    <row r="23">
      <c r="C23" s="4" t="s">
        <v>143</v>
      </c>
      <c r="D23" s="17" t="s">
        <v>144</v>
      </c>
      <c r="E23" s="17" t="s">
        <v>145</v>
      </c>
    </row>
    <row r="24">
      <c r="C24" s="4" t="s">
        <v>146</v>
      </c>
    </row>
    <row r="25">
      <c r="C25" s="4" t="s">
        <v>147</v>
      </c>
      <c r="D25" s="17" t="s">
        <v>148</v>
      </c>
    </row>
    <row r="26">
      <c r="C26" s="4" t="s">
        <v>149</v>
      </c>
      <c r="D26" s="17" t="s">
        <v>150</v>
      </c>
    </row>
    <row r="27">
      <c r="C27" s="4" t="s">
        <v>151</v>
      </c>
      <c r="D27" s="4" t="s">
        <v>152</v>
      </c>
    </row>
    <row r="28">
      <c r="C28" s="4" t="s">
        <v>153</v>
      </c>
      <c r="D28" s="20" t="s">
        <v>154</v>
      </c>
    </row>
    <row r="29">
      <c r="C29" s="4" t="s">
        <v>155</v>
      </c>
      <c r="D29" s="20" t="s">
        <v>156</v>
      </c>
    </row>
  </sheetData>
  <hyperlinks>
    <hyperlink r:id="rId1" ref="J4"/>
    <hyperlink r:id="rId2" ref="J5"/>
    <hyperlink r:id="rId3" ref="J7"/>
    <hyperlink r:id="rId4" ref="J8"/>
    <hyperlink r:id="rId5" ref="J9"/>
    <hyperlink r:id="rId6" ref="J11"/>
    <hyperlink r:id="rId7" ref="J12"/>
    <hyperlink r:id="rId8" ref="D14"/>
    <hyperlink r:id="rId9" ref="D18"/>
    <hyperlink r:id="rId10" ref="D19"/>
    <hyperlink r:id="rId11" ref="E19"/>
    <hyperlink r:id="rId12" ref="I19"/>
    <hyperlink r:id="rId13" ref="D20"/>
    <hyperlink r:id="rId14" ref="D21"/>
    <hyperlink r:id="rId15" ref="D22"/>
    <hyperlink r:id="rId16" ref="D23"/>
    <hyperlink r:id="rId17" ref="E23"/>
    <hyperlink r:id="rId18" ref="D25"/>
    <hyperlink r:id="rId19" ref="D26"/>
    <hyperlink r:id="rId20" ref="D28"/>
    <hyperlink r:id="rId21" ref="D29"/>
  </hyperlinks>
  <drawing r:id="rId2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22" t="s">
        <v>157</v>
      </c>
    </row>
    <row r="4">
      <c r="C4" s="4" t="s">
        <v>158</v>
      </c>
      <c r="D4" s="4" t="s">
        <v>159</v>
      </c>
      <c r="E4" s="4" t="s">
        <v>160</v>
      </c>
      <c r="F4" s="4" t="s">
        <v>161</v>
      </c>
    </row>
    <row r="5">
      <c r="B5" s="4" t="s">
        <v>162</v>
      </c>
      <c r="C5" s="4">
        <v>1.0</v>
      </c>
      <c r="D5" s="23" t="s">
        <v>163</v>
      </c>
      <c r="E5" s="24">
        <v>0.12</v>
      </c>
      <c r="F5" s="25">
        <f t="shared" ref="F5:F7" si="1">C5*E5</f>
        <v>0.12</v>
      </c>
    </row>
    <row r="6">
      <c r="B6" s="4" t="s">
        <v>3</v>
      </c>
      <c r="C6" s="4">
        <v>1.0</v>
      </c>
      <c r="D6" s="23" t="s">
        <v>163</v>
      </c>
      <c r="E6" s="24">
        <v>0.008</v>
      </c>
      <c r="F6" s="25">
        <f t="shared" si="1"/>
        <v>0.008</v>
      </c>
    </row>
    <row r="7">
      <c r="B7" s="4" t="s">
        <v>164</v>
      </c>
      <c r="C7" s="4">
        <v>4.0</v>
      </c>
      <c r="D7" s="23" t="s">
        <v>163</v>
      </c>
      <c r="E7" s="4">
        <v>0.0</v>
      </c>
      <c r="F7" s="25">
        <f t="shared" si="1"/>
        <v>0</v>
      </c>
    </row>
    <row r="8">
      <c r="B8" s="15" t="s">
        <v>165</v>
      </c>
      <c r="F8" s="14">
        <f>SUM(F5:F7)*1000</f>
        <v>128</v>
      </c>
      <c r="G8" s="15" t="s">
        <v>166</v>
      </c>
    </row>
    <row r="9">
      <c r="B9" s="4" t="s">
        <v>167</v>
      </c>
      <c r="C9" s="4">
        <v>4.0</v>
      </c>
      <c r="D9" s="23">
        <v>12.0</v>
      </c>
      <c r="E9" s="4">
        <v>0.0025</v>
      </c>
      <c r="F9" s="25">
        <f t="shared" ref="F9:F10" si="2">C9*E9</f>
        <v>0.01</v>
      </c>
    </row>
    <row r="10">
      <c r="B10" s="4" t="s">
        <v>168</v>
      </c>
      <c r="C10" s="4">
        <v>1.0</v>
      </c>
      <c r="D10" s="23">
        <v>12.0</v>
      </c>
      <c r="E10" s="4">
        <v>0.055</v>
      </c>
      <c r="F10" s="25">
        <f t="shared" si="2"/>
        <v>0.055</v>
      </c>
      <c r="G10" s="4" t="s">
        <v>169</v>
      </c>
      <c r="H10" s="17" t="s">
        <v>135</v>
      </c>
    </row>
    <row r="11">
      <c r="B11" s="15" t="s">
        <v>170</v>
      </c>
      <c r="F11" s="14">
        <f>SUM(F9:F10)*1000</f>
        <v>65</v>
      </c>
      <c r="G11" s="15" t="s">
        <v>166</v>
      </c>
    </row>
    <row r="14">
      <c r="B14" s="15" t="s">
        <v>161</v>
      </c>
      <c r="F14" s="14">
        <f>sum(F8,F11)</f>
        <v>193</v>
      </c>
      <c r="G14" s="15" t="s">
        <v>166</v>
      </c>
    </row>
  </sheetData>
  <mergeCells count="4">
    <mergeCell ref="B3:F3"/>
    <mergeCell ref="B8:E8"/>
    <mergeCell ref="B11:E11"/>
    <mergeCell ref="B14:E14"/>
  </mergeCells>
  <hyperlinks>
    <hyperlink r:id="rId1" ref="H10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